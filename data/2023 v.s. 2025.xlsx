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ocuments/01.Research Projects/18.NYC Congestion Pricing/7.GitHub Repo/NYC-Congestion-Pricing/data/"/>
    </mc:Choice>
  </mc:AlternateContent>
  <xr:revisionPtr revIDLastSave="0" documentId="13_ncr:1_{F8961301-0C09-4D4F-B7C8-588E3A279225}" xr6:coauthVersionLast="47" xr6:coauthVersionMax="47" xr10:uidLastSave="{00000000-0000-0000-0000-000000000000}"/>
  <bookViews>
    <workbookView xWindow="0" yWindow="1200" windowWidth="34560" windowHeight="19660" xr2:uid="{040F0D33-50F7-4C06-B1DA-5D3B50CD03E6}"/>
  </bookViews>
  <sheets>
    <sheet name="v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8" i="3"/>
  <c r="E19" i="3"/>
  <c r="E20" i="3"/>
  <c r="E21" i="3"/>
  <c r="E22" i="3"/>
  <c r="E16" i="3"/>
  <c r="C22" i="3"/>
  <c r="D22" i="3"/>
  <c r="B22" i="3"/>
  <c r="E11" i="3"/>
  <c r="D4" i="3"/>
  <c r="D5" i="3"/>
  <c r="D6" i="3"/>
  <c r="D3" i="3"/>
  <c r="C6" i="3"/>
  <c r="B6" i="3"/>
</calcChain>
</file>

<file path=xl/sharedStrings.xml><?xml version="1.0" encoding="utf-8"?>
<sst xmlns="http://schemas.openxmlformats.org/spreadsheetml/2006/main" count="24" uniqueCount="21">
  <si>
    <t>April</t>
  </si>
  <si>
    <t>May</t>
  </si>
  <si>
    <t>June</t>
  </si>
  <si>
    <t>Total</t>
  </si>
  <si>
    <t>Baseline (2022-2023)</t>
  </si>
  <si>
    <t>Pct Change</t>
  </si>
  <si>
    <t>Vehicle Entries to CRZ</t>
  </si>
  <si>
    <t>2023-2024 Taxi &amp; Trips remain unchanged</t>
  </si>
  <si>
    <t>2022-2023 Entries remain unchanged</t>
  </si>
  <si>
    <t>We have considered the change of travel time and cost</t>
  </si>
  <si>
    <t>2023-2024 tunnel unchanged?</t>
  </si>
  <si>
    <t>Say some evidence: stable attribute, stable share</t>
  </si>
  <si>
    <t>Pct Change 25 vs. 23</t>
  </si>
  <si>
    <t>Transit Ridership for All Transit Operators Providing Service to the CRZ</t>
  </si>
  <si>
    <t>MTA</t>
  </si>
  <si>
    <t>NYC DOT</t>
  </si>
  <si>
    <t>NYC EDC</t>
  </si>
  <si>
    <t>NJTC</t>
  </si>
  <si>
    <t>Port Authority</t>
  </si>
  <si>
    <t>RIOC</t>
  </si>
  <si>
    <t>CRZ FHV &amp; Taxi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</si>
</sst>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167" fontId="0" fillId="0" borderId="0" xfId="0" applyNumberFormat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10150</xdr:colOff>
      <xdr:row>0</xdr:row>
      <xdr:rowOff>66284</xdr:rowOff>
    </xdr:from>
    <xdr:to>
      <xdr:col>11</xdr:col>
      <xdr:colOff>585884</xdr:colOff>
      <xdr:row>13</xdr:row>
      <xdr:rowOff>14394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68732-59AC-7AEC-C332-00FBA2B5B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0371" y="66284"/>
          <a:ext cx="4715513" cy="2410928"/>
        </a:xfrm>
        <a:prstGeom prst="rect">
          <a:avLst/>
        </a:prstGeom>
      </xdr:spPr>
    </xdr:pic>
    <xdr:clientData/>
  </xdr:twoCellAnchor>
  <xdr:twoCellAnchor editAs="oneCell">
    <xdr:from>
      <xdr:col>6</xdr:col>
      <xdr:colOff>14271</xdr:colOff>
      <xdr:row>14</xdr:row>
      <xdr:rowOff>57079</xdr:rowOff>
    </xdr:from>
    <xdr:to>
      <xdr:col>11</xdr:col>
      <xdr:colOff>28541</xdr:colOff>
      <xdr:row>28</xdr:row>
      <xdr:rowOff>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3A087-E472-5C3E-FE59-E0EB80FD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9215" y="2654158"/>
          <a:ext cx="4152472" cy="25774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129793</xdr:rowOff>
    </xdr:from>
    <xdr:to>
      <xdr:col>5</xdr:col>
      <xdr:colOff>549591</xdr:colOff>
      <xdr:row>35</xdr:row>
      <xdr:rowOff>66400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EF65F1-68A9-8EA2-44F3-10221623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08660"/>
          <a:ext cx="6010591" cy="2273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1282-18DD-5942-8E6D-6B2ABED3449F}">
  <dimension ref="A1:E50"/>
  <sheetViews>
    <sheetView tabSelected="1" zoomScale="133" workbookViewId="0">
      <selection activeCell="B3" sqref="B3"/>
    </sheetView>
  </sheetViews>
  <sheetFormatPr baseColWidth="10" defaultRowHeight="15" x14ac:dyDescent="0.2"/>
  <cols>
    <col min="2" max="2" width="17.33203125" customWidth="1"/>
    <col min="3" max="3" width="12.83203125" customWidth="1"/>
    <col min="4" max="4" width="12.33203125" customWidth="1"/>
    <col min="5" max="5" width="18.1640625" customWidth="1"/>
  </cols>
  <sheetData>
    <row r="1" spans="1:5" x14ac:dyDescent="0.2">
      <c r="A1" s="1" t="s">
        <v>6</v>
      </c>
    </row>
    <row r="2" spans="1:5" x14ac:dyDescent="0.2">
      <c r="B2" s="2" t="s">
        <v>4</v>
      </c>
      <c r="C2" s="2">
        <v>2025</v>
      </c>
      <c r="D2" s="2" t="s">
        <v>5</v>
      </c>
    </row>
    <row r="3" spans="1:5" x14ac:dyDescent="0.2">
      <c r="A3" s="1" t="s">
        <v>0</v>
      </c>
      <c r="B3" s="3">
        <v>644400</v>
      </c>
      <c r="C3" s="3">
        <v>568143</v>
      </c>
      <c r="D3" s="4">
        <f>(C3-B3)/B3</f>
        <v>-0.11833798882681565</v>
      </c>
    </row>
    <row r="4" spans="1:5" x14ac:dyDescent="0.2">
      <c r="A4" s="1" t="s">
        <v>1</v>
      </c>
      <c r="B4" s="3">
        <v>647200</v>
      </c>
      <c r="C4" s="3">
        <v>580226</v>
      </c>
      <c r="D4" s="4">
        <f t="shared" ref="D4:D6" si="0">(C4-B4)/B4</f>
        <v>-0.10348269468479604</v>
      </c>
    </row>
    <row r="5" spans="1:5" x14ac:dyDescent="0.2">
      <c r="A5" s="1" t="s">
        <v>2</v>
      </c>
      <c r="B5" s="3">
        <v>662400</v>
      </c>
      <c r="C5" s="3">
        <v>570328</v>
      </c>
      <c r="D5" s="4">
        <f t="shared" si="0"/>
        <v>-0.13899758454106281</v>
      </c>
    </row>
    <row r="6" spans="1:5" x14ac:dyDescent="0.2">
      <c r="A6" s="1" t="s">
        <v>3</v>
      </c>
      <c r="B6" s="3">
        <f>SUM(B3:B5)</f>
        <v>1954000</v>
      </c>
      <c r="C6" s="3">
        <f>SUM(C3:C5)</f>
        <v>1718697</v>
      </c>
      <c r="D6" s="5">
        <f t="shared" si="0"/>
        <v>-0.12042118730808597</v>
      </c>
    </row>
    <row r="9" spans="1:5" x14ac:dyDescent="0.2">
      <c r="A9" s="1" t="s">
        <v>20</v>
      </c>
    </row>
    <row r="10" spans="1:5" x14ac:dyDescent="0.2">
      <c r="B10" s="2">
        <v>2023</v>
      </c>
      <c r="C10" s="2">
        <v>2024</v>
      </c>
      <c r="D10" s="2">
        <v>2025</v>
      </c>
      <c r="E10" s="2" t="s">
        <v>12</v>
      </c>
    </row>
    <row r="11" spans="1:5" x14ac:dyDescent="0.2">
      <c r="A11" s="1" t="s">
        <v>3</v>
      </c>
      <c r="B11" s="3">
        <v>308092</v>
      </c>
      <c r="C11" s="3">
        <v>308110</v>
      </c>
      <c r="D11" s="3">
        <v>312428</v>
      </c>
      <c r="E11" s="5">
        <f>(D11-B11)/B11</f>
        <v>1.4073718240006233E-2</v>
      </c>
    </row>
    <row r="14" spans="1:5" x14ac:dyDescent="0.2">
      <c r="A14" s="1" t="s">
        <v>13</v>
      </c>
    </row>
    <row r="15" spans="1:5" x14ac:dyDescent="0.2">
      <c r="B15" s="2">
        <v>2023</v>
      </c>
      <c r="C15" s="2">
        <v>2024</v>
      </c>
      <c r="D15" s="2">
        <v>2025</v>
      </c>
      <c r="E15" s="2" t="s">
        <v>12</v>
      </c>
    </row>
    <row r="16" spans="1:5" x14ac:dyDescent="0.2">
      <c r="A16" s="1" t="s">
        <v>14</v>
      </c>
      <c r="B16" s="3">
        <v>4671312</v>
      </c>
      <c r="C16" s="3">
        <v>4648843</v>
      </c>
      <c r="D16" s="3">
        <v>5112676</v>
      </c>
      <c r="E16" s="4">
        <f>(D16-B16)/B16</f>
        <v>9.4483947978640695E-2</v>
      </c>
    </row>
    <row r="17" spans="1:5" x14ac:dyDescent="0.2">
      <c r="A17" s="1" t="s">
        <v>17</v>
      </c>
      <c r="B17" s="3">
        <v>509260</v>
      </c>
      <c r="C17" s="3">
        <v>551585</v>
      </c>
      <c r="D17" s="3">
        <v>542193</v>
      </c>
      <c r="E17" s="4">
        <f t="shared" ref="E17:E22" si="1">(D17-B17)/B17</f>
        <v>6.4668342300593012E-2</v>
      </c>
    </row>
    <row r="18" spans="1:5" x14ac:dyDescent="0.2">
      <c r="A18" s="1" t="s">
        <v>15</v>
      </c>
      <c r="B18" s="3">
        <v>42557</v>
      </c>
      <c r="C18" s="3">
        <v>44929</v>
      </c>
      <c r="D18" s="3">
        <v>45513</v>
      </c>
      <c r="E18" s="4">
        <f t="shared" si="1"/>
        <v>6.9459783349390236E-2</v>
      </c>
    </row>
    <row r="19" spans="1:5" x14ac:dyDescent="0.2">
      <c r="A19" s="1" t="s">
        <v>16</v>
      </c>
      <c r="B19" s="3">
        <v>19714</v>
      </c>
      <c r="C19" s="3">
        <v>20825</v>
      </c>
      <c r="D19" s="3">
        <v>21239</v>
      </c>
      <c r="E19" s="4">
        <f t="shared" si="1"/>
        <v>7.735619356802273E-2</v>
      </c>
    </row>
    <row r="20" spans="1:5" x14ac:dyDescent="0.2">
      <c r="A20" s="1" t="s">
        <v>18</v>
      </c>
      <c r="B20" s="3">
        <v>134793</v>
      </c>
      <c r="C20" s="3">
        <v>150931</v>
      </c>
      <c r="D20" s="3">
        <v>162694</v>
      </c>
      <c r="E20" s="4">
        <f t="shared" si="1"/>
        <v>0.20699146098091148</v>
      </c>
    </row>
    <row r="21" spans="1:5" x14ac:dyDescent="0.2">
      <c r="A21" s="1" t="s">
        <v>19</v>
      </c>
      <c r="B21" s="3">
        <v>7084</v>
      </c>
      <c r="C21" s="3">
        <v>9354</v>
      </c>
      <c r="D21" s="3">
        <v>7936</v>
      </c>
      <c r="E21" s="4">
        <f t="shared" si="1"/>
        <v>0.12027103331451157</v>
      </c>
    </row>
    <row r="22" spans="1:5" x14ac:dyDescent="0.2">
      <c r="A22" s="1" t="s">
        <v>3</v>
      </c>
      <c r="B22" s="3">
        <f>SUM(B16:B21)</f>
        <v>5384720</v>
      </c>
      <c r="C22" s="3">
        <f t="shared" ref="C22:D22" si="2">SUM(C16:C21)</f>
        <v>5426467</v>
      </c>
      <c r="D22" s="3">
        <f t="shared" si="2"/>
        <v>5892251</v>
      </c>
      <c r="E22" s="5">
        <f t="shared" si="1"/>
        <v>9.4253925923724904E-2</v>
      </c>
    </row>
    <row r="46" spans="1:1" x14ac:dyDescent="0.2">
      <c r="A46" s="1" t="s">
        <v>11</v>
      </c>
    </row>
    <row r="47" spans="1:1" x14ac:dyDescent="0.2">
      <c r="A47" t="s">
        <v>7</v>
      </c>
    </row>
    <row r="48" spans="1:1" x14ac:dyDescent="0.2">
      <c r="A48" t="s">
        <v>8</v>
      </c>
    </row>
    <row r="49" spans="1:1" x14ac:dyDescent="0.2">
      <c r="A49" t="s">
        <v>9</v>
      </c>
    </row>
    <row r="50" spans="1:1" x14ac:dyDescent="0.2">
      <c r="A5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</vt:lpstr>
    </vt:vector>
  </TitlesOfParts>
  <Company>HNTB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Zhenglei Ji</dc:creator>
  <cp:lastModifiedBy>Xiyuan Ren</cp:lastModifiedBy>
  <dcterms:created xsi:type="dcterms:W3CDTF">2025-06-19T16:20:37Z</dcterms:created>
  <dcterms:modified xsi:type="dcterms:W3CDTF">2026-02-06T14:18:02Z</dcterms:modified>
</cp:coreProperties>
</file>